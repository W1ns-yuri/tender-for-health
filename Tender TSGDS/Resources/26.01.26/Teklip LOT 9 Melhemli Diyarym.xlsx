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8_{1FAEC421-A4DA-4846-8A19-0E92238FD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2" l="1"/>
  <c r="I3" i="2"/>
  <c r="I4" i="2"/>
  <c r="I5" i="2"/>
  <c r="I6" i="2"/>
  <c r="I7" i="2"/>
  <c r="I8" i="2"/>
  <c r="I9" i="2"/>
  <c r="I10" i="2"/>
  <c r="I11" i="2"/>
  <c r="I12" i="2"/>
  <c r="I13" i="2"/>
  <c r="I14" i="2"/>
  <c r="I2" i="2"/>
</calcChain>
</file>

<file path=xl/sharedStrings.xml><?xml version="1.0" encoding="utf-8"?>
<sst xmlns="http://schemas.openxmlformats.org/spreadsheetml/2006/main" count="74" uniqueCount="27">
  <si>
    <t>T/B</t>
  </si>
  <si>
    <t>Наименование товара 
Product Name</t>
  </si>
  <si>
    <t>Технические характеристики</t>
  </si>
  <si>
    <t>Производитель страна
производства</t>
  </si>
  <si>
    <t>Фасовка</t>
  </si>
  <si>
    <t>Единица
измерения</t>
  </si>
  <si>
    <t>Коли-чество</t>
  </si>
  <si>
    <t xml:space="preserve">barlag geçirmek üçin
 </t>
  </si>
  <si>
    <t>производства ООО "НекстБио", Россия</t>
  </si>
  <si>
    <t>Gepatit C wirusynyň RNK-ny PZR usuly arkaly ýüze çykarmak  üçin  reagentler toplumy  “AmpliSens® HCV-FL”  (gapda 100 barlag)                                                                                 Набор реагентов для выявления РНК вируса гепатита C (HCV) в клиническом материале методом ПЦР с гибридизационно-флуоресцентной детекцией «АмплиСенс® HCV-FL»</t>
  </si>
  <si>
    <t>Gepatit C wirusynyň RNK-ny mukdar taýdan PZR usuly arkaly ýüze çykarmak  üçin  reagentler toplumy "AmpliSens® HCV-Monitor-FL"  (gapda 100 barlag)                                            Набор реагентов для количественного определения РНК вируса гепатита C (HCV) в клиническом материале методом ПЦР с гибридизационно-флуоресцентной детекцией в режиме «реального времени» «АмплиСенс® HCV-Монитор-FL»</t>
  </si>
  <si>
    <t>toplum /набор</t>
  </si>
  <si>
    <t>sanda / штук</t>
  </si>
  <si>
    <t>RNK we DNK-ny bölüp çykarmak üçin reagentlar toplumy,AmpliPrime® Ribo-prep, VET (gapda 100 barlag)   АмплиПрайм® Рибо-преп, ВЕТ (100 тестов/упак.)</t>
  </si>
  <si>
    <t xml:space="preserve"> Gepatit B wirusynyň DNK-ny PZR usuly arkaly ýüze çykarmak  üçin  reagentler toplumy “AmpliSens® HBV-FL” ( gapda 100 barlag)                                                                                Набор реагентов для выявления ДНК вируса гепатита B (HBV) в клиническом материале методом ПЦР с гибридизационно-флуоресцентной детекцией «АмплиСенс® HBV-FL»(100 тестов/упак.)</t>
  </si>
  <si>
    <t>Gepatit B wirusynyň (HBV) DNK-ny we gepatit D wirusynyň (HDV) RNK-ny bir wagtda ýüze çykarmak üçin reagentler toplumy “AmpliSens®  HBV/HDV-FL (gapda 100 barlag)    Набора реагентов для одновременного выявления ДНК вируса гепатита B (HBV) и РНК вируса гепатита D (HDV) 
«АмплиСенс® HBV / HDV-FL» (100 тестов/упак.)</t>
  </si>
  <si>
    <t>RNK we DNK-ny bölüp çykarmak üçin reagentlar toplumy,  AmpliPrime® "RIBO-prep" (gapda 100 barlag)                  Набор реагентов для выделения ДНК/РНК АмплиПрайм® Рибо-преп, (100 тестов/упак.)</t>
  </si>
  <si>
    <t>Gepatit C wirusynyň RNK-nyň genotipini PZR usuly arkaly ýüze çykarmak  üçin  reagentler toplumy  "AmpliSens® HCV-1/2/3-FL" (gapda 55 barlag)                                                               Набор реагентов для выявления и дифференциации генотипов (1, 2, 3) вируса гепатита C (HCV)  методом ПЦР «АмплиСенс® HCV-1/2/3-FL» (55 тестов/упак.)</t>
  </si>
  <si>
    <t>Gepatit B wirusynyň DNK-ny mukdar taýdan PZR usuly arkaly ýüze çykarmak  üçin  reagentler toplumy“AmpliSens® HBV-Monitor-FL”  (gapda 100 barlag)                                                Набор реагентов для количественного определения ДНК вируса гепатита B (HBV) методом ПЦР  «АмплиСенс® HBV-Монитор-FL» (100 тестов/упак.)</t>
  </si>
  <si>
    <t>PZR usuly arkaly Gäwmiş etiniň DNK-ny anyklamak üçin reagentlar toplumy  AmpliPrime® Buffalo (gapda 96 barlag)   Набор реагентов для обнаружения ДНК Буйвола методом ПЦР  АмплиПрайм® Буйвол (96 тестов/упак.)</t>
  </si>
  <si>
    <t>PZR usuly arkaly Doňuz we towuk etiniň DNK-ny anyklamak üçin reagentlar toplumy AmpliPrime® Doňuz  / Towuk (gapda 96 barlag)                                                                                   Набор реагентов для обнаружения ДНК Свинины и курицы методом ПЦР АмплиПрайм® Свинина/Курица   (96 тестов/упак.)</t>
  </si>
  <si>
    <t>FYBK "Merkezi Ylmy- Barlag Epidemiologiýa  Instituty" / ФБУН Центральный Научно-Исследовательский Институт Эпидемиологии,
Russiýa Federasiýasy / Российская Федерация</t>
  </si>
  <si>
    <t xml:space="preserve"> PZR usuly arkaly Sygyr /Goýun/Atyň etiniň DNK-ny anyklamak üçin reagentler toplumy   AmpliPrime® Sygyr/Goýun /At (gapda 96 barlag)                                                                                     Для обнаружения ДНК методом ПЦР в режиме реального времени АмплиПрайм® Говядина/Баранина/ Конина (96 тестов/упак.)</t>
  </si>
  <si>
    <t xml:space="preserve">Ösümlik gelip çykyşly önümlerde GMO-ny anyklamak üçin reagentler toplumy "AmpliPrime® GMO-Ösümlik"  (gapda 96 barlag)                                                                                 Набора реагентов для выявления ДНК АмплиПрайм® ГМО-Растение (96 тестов/упак) </t>
  </si>
  <si>
    <t xml:space="preserve">RNK we DNK-ny bölüp çykarmak üçin reagentlar toplumy "MagnoPrime® Fito", (gapda 96 barlag)                                                         Набор реагентов МагноПрайм Фито,   (96 тестов/упак) </t>
  </si>
  <si>
    <t>Цена Туркменкий манат</t>
  </si>
  <si>
    <t>Сумма Туркменкий манат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</si>
</sst>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 shrinkToFit="1"/>
    </xf>
    <xf numFmtId="0" fontId="2" fillId="0" borderId="0" xfId="0" applyFont="1" applyFill="1"/>
    <xf numFmtId="43" fontId="3" fillId="0" borderId="1" xfId="2" applyFont="1" applyFill="1" applyBorder="1" applyAlignment="1">
      <alignment horizontal="center" vertical="center" wrapText="1" shrinkToFit="1"/>
    </xf>
    <xf numFmtId="43" fontId="3" fillId="0" borderId="1" xfId="2" applyFont="1" applyBorder="1" applyAlignment="1">
      <alignment horizontal="center" vertical="center"/>
    </xf>
    <xf numFmtId="43" fontId="3" fillId="0" borderId="0" xfId="2" applyFont="1"/>
    <xf numFmtId="43" fontId="2" fillId="0" borderId="0" xfId="2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43" fontId="7" fillId="0" borderId="0" xfId="2" applyFont="1"/>
  </cellXfs>
  <cellStyles count="3">
    <cellStyle name="Обычный" xfId="0" builtinId="0"/>
    <cellStyle name="Обычный 2" xfId="1" xr:uid="{00000000-0005-0000-0000-000001000000}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Normal="100" workbookViewId="0">
      <selection activeCell="I15" sqref="I15"/>
    </sheetView>
  </sheetViews>
  <sheetFormatPr defaultColWidth="9.140625" defaultRowHeight="15.75" x14ac:dyDescent="0.25"/>
  <cols>
    <col min="1" max="1" width="5.5703125" style="1" customWidth="1"/>
    <col min="2" max="2" width="57.140625" style="1" customWidth="1"/>
    <col min="3" max="3" width="15.7109375" style="4" customWidth="1"/>
    <col min="4" max="4" width="33.140625" style="1" customWidth="1"/>
    <col min="5" max="5" width="10.42578125" style="1" customWidth="1"/>
    <col min="6" max="6" width="13.5703125" style="1" customWidth="1"/>
    <col min="7" max="7" width="9.42578125" style="1" customWidth="1"/>
    <col min="8" max="8" width="15.5703125" style="12" customWidth="1"/>
    <col min="9" max="9" width="16.5703125" style="12" bestFit="1" customWidth="1"/>
    <col min="10" max="16384" width="9.140625" style="1"/>
  </cols>
  <sheetData>
    <row r="1" spans="1:9" s="8" customFormat="1" ht="47.2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25</v>
      </c>
      <c r="I1" s="9" t="s">
        <v>26</v>
      </c>
    </row>
    <row r="2" spans="1:9" s="2" customFormat="1" ht="78.75" x14ac:dyDescent="0.25">
      <c r="A2" s="13">
        <v>1</v>
      </c>
      <c r="B2" s="14" t="s">
        <v>23</v>
      </c>
      <c r="C2" s="15" t="s">
        <v>7</v>
      </c>
      <c r="D2" s="16" t="s">
        <v>8</v>
      </c>
      <c r="E2" s="15" t="s">
        <v>11</v>
      </c>
      <c r="F2" s="15" t="s">
        <v>12</v>
      </c>
      <c r="G2" s="17">
        <v>417</v>
      </c>
      <c r="H2" s="10">
        <v>7200</v>
      </c>
      <c r="I2" s="10">
        <f>G2*H2</f>
        <v>3002400</v>
      </c>
    </row>
    <row r="3" spans="1:9" s="2" customFormat="1" ht="47.25" x14ac:dyDescent="0.25">
      <c r="A3" s="13">
        <v>2</v>
      </c>
      <c r="B3" s="14" t="s">
        <v>24</v>
      </c>
      <c r="C3" s="15" t="s">
        <v>7</v>
      </c>
      <c r="D3" s="16" t="s">
        <v>8</v>
      </c>
      <c r="E3" s="15" t="s">
        <v>11</v>
      </c>
      <c r="F3" s="15" t="s">
        <v>12</v>
      </c>
      <c r="G3" s="17">
        <v>417</v>
      </c>
      <c r="H3" s="10">
        <v>4704</v>
      </c>
      <c r="I3" s="10">
        <f t="shared" ref="I3:I14" si="0">G3*H3</f>
        <v>1961568</v>
      </c>
    </row>
    <row r="4" spans="1:9" s="2" customFormat="1" ht="63" x14ac:dyDescent="0.25">
      <c r="A4" s="13">
        <v>3</v>
      </c>
      <c r="B4" s="14" t="s">
        <v>19</v>
      </c>
      <c r="C4" s="15" t="s">
        <v>7</v>
      </c>
      <c r="D4" s="18" t="s">
        <v>8</v>
      </c>
      <c r="E4" s="15" t="s">
        <v>11</v>
      </c>
      <c r="F4" s="15" t="s">
        <v>12</v>
      </c>
      <c r="G4" s="18">
        <v>10</v>
      </c>
      <c r="H4" s="10">
        <v>4656</v>
      </c>
      <c r="I4" s="10">
        <f t="shared" si="0"/>
        <v>46560</v>
      </c>
    </row>
    <row r="5" spans="1:9" s="2" customFormat="1" ht="94.5" x14ac:dyDescent="0.25">
      <c r="A5" s="13">
        <v>4</v>
      </c>
      <c r="B5" s="14" t="s">
        <v>20</v>
      </c>
      <c r="C5" s="15" t="s">
        <v>7</v>
      </c>
      <c r="D5" s="18" t="s">
        <v>8</v>
      </c>
      <c r="E5" s="15" t="s">
        <v>11</v>
      </c>
      <c r="F5" s="15" t="s">
        <v>12</v>
      </c>
      <c r="G5" s="18">
        <v>10</v>
      </c>
      <c r="H5" s="10">
        <v>4755</v>
      </c>
      <c r="I5" s="10">
        <f t="shared" si="0"/>
        <v>47550</v>
      </c>
    </row>
    <row r="6" spans="1:9" s="2" customFormat="1" ht="94.5" x14ac:dyDescent="0.25">
      <c r="A6" s="13">
        <v>5</v>
      </c>
      <c r="B6" s="14" t="s">
        <v>22</v>
      </c>
      <c r="C6" s="15" t="s">
        <v>7</v>
      </c>
      <c r="D6" s="18" t="s">
        <v>8</v>
      </c>
      <c r="E6" s="15" t="s">
        <v>11</v>
      </c>
      <c r="F6" s="15" t="s">
        <v>12</v>
      </c>
      <c r="G6" s="18">
        <v>10</v>
      </c>
      <c r="H6" s="10">
        <v>5374</v>
      </c>
      <c r="I6" s="10">
        <f t="shared" si="0"/>
        <v>53740</v>
      </c>
    </row>
    <row r="7" spans="1:9" s="2" customFormat="1" ht="47.25" x14ac:dyDescent="0.25">
      <c r="A7" s="13">
        <v>6</v>
      </c>
      <c r="B7" s="14" t="s">
        <v>13</v>
      </c>
      <c r="C7" s="15" t="s">
        <v>7</v>
      </c>
      <c r="D7" s="18" t="s">
        <v>8</v>
      </c>
      <c r="E7" s="15" t="s">
        <v>11</v>
      </c>
      <c r="F7" s="15" t="s">
        <v>12</v>
      </c>
      <c r="G7" s="18">
        <v>30</v>
      </c>
      <c r="H7" s="10">
        <v>11000</v>
      </c>
      <c r="I7" s="10">
        <f t="shared" si="0"/>
        <v>330000</v>
      </c>
    </row>
    <row r="8" spans="1:9" s="2" customFormat="1" ht="110.25" x14ac:dyDescent="0.25">
      <c r="A8" s="13">
        <v>7</v>
      </c>
      <c r="B8" s="19" t="s">
        <v>14</v>
      </c>
      <c r="C8" s="15" t="s">
        <v>7</v>
      </c>
      <c r="D8" s="15" t="s">
        <v>21</v>
      </c>
      <c r="E8" s="15" t="s">
        <v>11</v>
      </c>
      <c r="F8" s="15" t="s">
        <v>12</v>
      </c>
      <c r="G8" s="18">
        <v>10</v>
      </c>
      <c r="H8" s="10">
        <v>5500</v>
      </c>
      <c r="I8" s="10">
        <f t="shared" si="0"/>
        <v>55000</v>
      </c>
    </row>
    <row r="9" spans="1:9" s="2" customFormat="1" ht="110.25" x14ac:dyDescent="0.25">
      <c r="A9" s="13">
        <v>8</v>
      </c>
      <c r="B9" s="14" t="s">
        <v>15</v>
      </c>
      <c r="C9" s="15" t="s">
        <v>7</v>
      </c>
      <c r="D9" s="15" t="s">
        <v>21</v>
      </c>
      <c r="E9" s="15" t="s">
        <v>11</v>
      </c>
      <c r="F9" s="15" t="s">
        <v>12</v>
      </c>
      <c r="G9" s="18">
        <v>10</v>
      </c>
      <c r="H9" s="10">
        <v>5900</v>
      </c>
      <c r="I9" s="10">
        <f t="shared" si="0"/>
        <v>59000</v>
      </c>
    </row>
    <row r="10" spans="1:9" s="2" customFormat="1" ht="110.25" x14ac:dyDescent="0.25">
      <c r="A10" s="13">
        <v>9</v>
      </c>
      <c r="B10" s="14" t="s">
        <v>18</v>
      </c>
      <c r="C10" s="15" t="s">
        <v>7</v>
      </c>
      <c r="D10" s="15" t="s">
        <v>21</v>
      </c>
      <c r="E10" s="15" t="s">
        <v>11</v>
      </c>
      <c r="F10" s="15" t="s">
        <v>12</v>
      </c>
      <c r="G10" s="18">
        <v>10</v>
      </c>
      <c r="H10" s="10">
        <v>5400</v>
      </c>
      <c r="I10" s="10">
        <f t="shared" si="0"/>
        <v>54000</v>
      </c>
    </row>
    <row r="11" spans="1:9" s="2" customFormat="1" ht="110.25" x14ac:dyDescent="0.25">
      <c r="A11" s="13">
        <v>10</v>
      </c>
      <c r="B11" s="19" t="s">
        <v>9</v>
      </c>
      <c r="C11" s="15" t="s">
        <v>7</v>
      </c>
      <c r="D11" s="15" t="s">
        <v>21</v>
      </c>
      <c r="E11" s="15" t="s">
        <v>11</v>
      </c>
      <c r="F11" s="15" t="s">
        <v>12</v>
      </c>
      <c r="G11" s="18">
        <v>20</v>
      </c>
      <c r="H11" s="10">
        <v>5230</v>
      </c>
      <c r="I11" s="10">
        <f t="shared" si="0"/>
        <v>104600</v>
      </c>
    </row>
    <row r="12" spans="1:9" s="2" customFormat="1" ht="126" x14ac:dyDescent="0.25">
      <c r="A12" s="13">
        <v>11</v>
      </c>
      <c r="B12" s="14" t="s">
        <v>10</v>
      </c>
      <c r="C12" s="15" t="s">
        <v>7</v>
      </c>
      <c r="D12" s="15" t="s">
        <v>21</v>
      </c>
      <c r="E12" s="15" t="s">
        <v>11</v>
      </c>
      <c r="F12" s="15" t="s">
        <v>12</v>
      </c>
      <c r="G12" s="18">
        <v>10</v>
      </c>
      <c r="H12" s="10">
        <v>6024</v>
      </c>
      <c r="I12" s="10">
        <f t="shared" si="0"/>
        <v>60240</v>
      </c>
    </row>
    <row r="13" spans="1:9" s="2" customFormat="1" ht="110.25" x14ac:dyDescent="0.25">
      <c r="A13" s="13">
        <v>12</v>
      </c>
      <c r="B13" s="14" t="s">
        <v>17</v>
      </c>
      <c r="C13" s="15" t="s">
        <v>7</v>
      </c>
      <c r="D13" s="15" t="s">
        <v>21</v>
      </c>
      <c r="E13" s="15" t="s">
        <v>11</v>
      </c>
      <c r="F13" s="15" t="s">
        <v>12</v>
      </c>
      <c r="G13" s="18">
        <v>20</v>
      </c>
      <c r="H13" s="10">
        <v>3575</v>
      </c>
      <c r="I13" s="10">
        <f t="shared" si="0"/>
        <v>71500</v>
      </c>
    </row>
    <row r="14" spans="1:9" s="3" customFormat="1" ht="63" x14ac:dyDescent="0.25">
      <c r="A14" s="13">
        <v>13</v>
      </c>
      <c r="B14" s="19" t="s">
        <v>16</v>
      </c>
      <c r="C14" s="15" t="s">
        <v>7</v>
      </c>
      <c r="D14" s="18" t="s">
        <v>8</v>
      </c>
      <c r="E14" s="15" t="s">
        <v>11</v>
      </c>
      <c r="F14" s="15" t="s">
        <v>12</v>
      </c>
      <c r="G14" s="18">
        <v>70</v>
      </c>
      <c r="H14" s="10">
        <v>6800</v>
      </c>
      <c r="I14" s="10">
        <f t="shared" si="0"/>
        <v>476000</v>
      </c>
    </row>
    <row r="15" spans="1:9" x14ac:dyDescent="0.25">
      <c r="A15" s="5"/>
      <c r="B15" s="5"/>
      <c r="C15" s="6"/>
      <c r="D15" s="5"/>
      <c r="E15" s="5"/>
      <c r="F15" s="5"/>
      <c r="G15" s="5"/>
      <c r="H15" s="11"/>
      <c r="I15" s="20">
        <f>SUM(I2:I14)</f>
        <v>6322158</v>
      </c>
    </row>
  </sheetData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2025-05-01T05:17:51Z</dcterms:modified>
</cp:coreProperties>
</file>