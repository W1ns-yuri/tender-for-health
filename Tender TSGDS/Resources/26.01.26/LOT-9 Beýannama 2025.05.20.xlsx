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2025\LOT - 9 2025 SES manat\"/>
    </mc:Choice>
  </mc:AlternateContent>
  <bookViews>
    <workbookView xWindow="0" yWindow="0" windowWidth="23040" windowHeight="9408"/>
  </bookViews>
  <sheets>
    <sheet name="Beýannama Cheap" sheetId="1" r:id="rId1"/>
  </sheets>
  <definedNames>
    <definedName name="_xlnm._FilterDatabase" localSheetId="0" hidden="1">'Beýannama Cheap'!$A$7:$I$7</definedName>
    <definedName name="_xlnm.Print_Area" localSheetId="0">'Beýannama Cheap'!$A$1:$I$39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0" i="1" l="1"/>
  <c r="I19" i="1"/>
  <c r="I18" i="1"/>
  <c r="I17" i="1"/>
  <c r="I16" i="1"/>
  <c r="I15" i="1"/>
  <c r="I14" i="1"/>
  <c r="I13" i="1"/>
  <c r="I12" i="1"/>
  <c r="I11" i="1"/>
  <c r="I10" i="1"/>
  <c r="I9" i="1"/>
  <c r="I8" i="1"/>
  <c r="D24" i="1" l="1"/>
  <c r="F24" i="1"/>
  <c r="C21" i="1" l="1"/>
  <c r="D26" i="1"/>
  <c r="F26" i="1"/>
</calcChain>
</file>

<file path=xl/sharedStrings.xml><?xml version="1.0" encoding="utf-8"?>
<sst xmlns="http://schemas.openxmlformats.org/spreadsheetml/2006/main" count="96" uniqueCount="59">
  <si>
    <t>Türkmenistanyň Saglygy goraýyş 
we derman senagaty ministri, 
Bäsleşik toparyň başlygy</t>
  </si>
  <si>
    <t xml:space="preserve"> _______________M.Mämmedow</t>
  </si>
  <si>
    <t xml:space="preserve">   BEÝANNAMA № _______</t>
  </si>
  <si>
    <t>ş. Aşgabat</t>
  </si>
  <si>
    <t xml:space="preserve"> 2025 ý.  ______________   "_____"</t>
  </si>
  <si>
    <r>
      <t xml:space="preserve">             Türkmenistanyň Ministrler Kabinetiniň Başlygynyň Orunbasarynyň 2024-nji ýylyň 26-njy sentýabryndaky OB/06 belgili buýrugy esasynda döredilen bäsleşikleri taýýarlamak we geçirmek boýunça toparyň agzalarynyň gatnaşmagynda LOT № 9 - </t>
    </r>
    <r>
      <rPr>
        <b/>
        <sz val="12"/>
        <color rgb="FFFF0000"/>
        <rFont val="Times New Roman"/>
        <family val="1"/>
        <charset val="204"/>
      </rPr>
      <t>Döwlet Arassaçylyk we keselleriň ýaýramagyna garşy göreşmek gullugynyň garamagyndaky edaralaryna</t>
    </r>
    <r>
      <rPr>
        <sz val="12"/>
        <color rgb="FFFF0000"/>
        <rFont val="Times New Roman"/>
        <family val="1"/>
        <charset val="204"/>
      </rPr>
      <t xml:space="preserve"> hojalyk serişdeleriniň hasabyna bäsleşik esasynda satyn alynmaly 2025-nji ýyl üçin zerur gerek bolan anyklaýyş we sarp ediş serişdeleri satyn almak, olaryň nyrhyna, hil görkezijilerine we laýyklygyna baha bermek hem-de haryt getirijileri seçip almak işleri ýerine ýetirildi.</t>
    </r>
  </si>
  <si>
    <t>t/b</t>
  </si>
  <si>
    <t>Çig mallaryň we kömekçi serişdeleriň atlary</t>
  </si>
  <si>
    <t>Ölçeg birligi</t>
  </si>
  <si>
    <t>Gerek mukdary</t>
  </si>
  <si>
    <t>Bäsleşige gatnaşan firmalaryň sany</t>
  </si>
  <si>
    <t>Seçilip alnan kompaniýanyň ady</t>
  </si>
  <si>
    <t>Önümi öndüriji kompaniýanyň ady</t>
  </si>
  <si>
    <t>Nyrhy</t>
  </si>
  <si>
    <t>Möçberi</t>
  </si>
  <si>
    <t>JEMI</t>
  </si>
  <si>
    <t>görnüş</t>
  </si>
  <si>
    <t>Jemi:</t>
  </si>
  <si>
    <t xml:space="preserve">Ösümlik gelip çykyşly önümlerde GMO-ny anyklamak üçin reagentler toplumy "AmpliPrime® GMO-Ösümlik" (gapda 96 barlag)
Набора реагентов для выявления ДНК АмплиПрайм® ГМО-Растение (96 тестов/упак) </t>
  </si>
  <si>
    <t>«Melhemli Diýarym» HJ</t>
  </si>
  <si>
    <t>ООО "НекстБио", Россия</t>
  </si>
  <si>
    <t xml:space="preserve">RNK we DNK-ny bölüp çykarmak üçin reagentlar toplumy "MagnoPrime® Fito", (gapda 96 barlag)
Набор реагентов МагноПрайм Фито, (96 тестов/упак) </t>
  </si>
  <si>
    <t>PZR usuly arkaly Gäwmiş etiniň DNK-ny anyklamak üçin reagentlar toplumy AmpliPrime® Buffalo (gapda 96 barlag)
Набор реагентов для обнаружения ДНК Буйвола методом ПЦР АмплиПрайм® Буйвол (96 тестов/упак.)</t>
  </si>
  <si>
    <t>PZR usuly arkaly Doňuz we towuk etiniň DNK-ny anyklamak üçin reagentlar toplumy AmpliPrime® Doňuz / Towuk (gapda 96 barlag)
Набор реагентов для обнаружения ДНК Свинины и курицы методом ПЦР АмплиПрайм® Свинина/Курица (96 тестов/упак.)</t>
  </si>
  <si>
    <t xml:space="preserve"> PZR usuly arkaly Sygyr /Goýun/Atyň etiniň DNK-ny anyklamak üçin reagentler toplumy AmpliPrime® Sygyr/Goýun /At (gapda 96 barlag)
Для обнаружения ДНК методом ПЦР в режиме реального времени АмплиПрайм® Говядина/Баранина/ Конина (96 тестов/упак.)</t>
  </si>
  <si>
    <t>RNK we DNK-ny bölüp çykarmak üçin reagentlar toplumy,AmpliPrime® Ribo-prep, VET (gapda 100 barlag)
АмплиПрайм® Рибо-преп, ВЕТ (100 тестов/упак.)</t>
  </si>
  <si>
    <t>Gepatit B wirusynyň DNK-ny PZR usuly arkaly ýüze çykarmak üçin reagentler toplumy “AmpliSens® HBV-FL” ( gapda 100 barlag)
Набор реагентов для выявления ДНК вируса гепатита B (HBV) в клиническом материале методом ПЦР с гибридизационно-флуоресцентной детекцией «АмплиСенс® HBV-FL»(100 тестов/упак.)</t>
  </si>
  <si>
    <t>FYBK "Merkezi Ylmy- Barlag Epidemiologiýa Instituty", Russiýa Federasiýasy</t>
  </si>
  <si>
    <t>Gepatit B wirusynyň (HBV) DNK-ny we gepatit D wirusynyň (HDV) RNK-ny bir wagtda ýüze çykarmak üçin reagentler toplumy “AmpliSens® HBV/HDV-FL (gapda 100 barlag)
Набора реагентов для одновременного выявления ДНК вируса гепатита B (HBV) и РНК вируса гепатита D (HDV) 
«АмплиСенс® HBV / HDV-FL» (100 тестов/упак.)</t>
  </si>
  <si>
    <t>Gepatit B wirusynyň DNK-ny mukdar taýdan PZR usuly arkaly ýüze çykarmak üçin reagentler toplumy“AmpliSens® HBV-Monitor-FL” (gapda 100 barlag)
Набор реагентов для количественного определения ДНК вируса гепатита B (HBV) методом ПЦР «АмплиСенс® HBV-Монитор-FL» (100 тестов/упак.)</t>
  </si>
  <si>
    <t>Gepatit C wirusynyň RNK-ny PZR usuly arkaly ýüze çykarmak üçin reagentler toplumy “AmpliSens® HCV-FL” (gapda 100 barlag)
Набор реагентов для выявления РНК вируса гепатита C (HCV) в клиническом материале методом ПЦР с гибридизационно-флуоресцентной детекцией «АмплиСенс® HCV-FL»</t>
  </si>
  <si>
    <t>Gepatit C wirusynyň RNK-ny mukdar taýdan PZR usuly arkaly ýüze çykarmak üçin reagentler toplumy "AmpliSens® HCV-Monitor-FL" (gapda 100 barlag)
Набор реагентов для количественного определения РНК вируса гепатита C (HCV) в клиническом материале методом ПЦР с гибридизационно-флуоресцентной детекцией в режиме «реального времени» «АмплиСенс® HCV-Монитор-FL»</t>
  </si>
  <si>
    <t>Gepatit C wirusynyň RNK-nyň genotipini PZR usuly arkaly ýüze çykarmak üçin reagentler toplumy "AmpliSens® HCV-1/2/3-FL" (gapda 55 barlag)
Набор реагентов для выявления и дифференциации генотипов (1, 2, 3) вируса гепатита C (HCV) методом ПЦР «АмплиСенс® HCV-1/2/3-FL» (55 тестов/упак.)</t>
  </si>
  <si>
    <t>RNK we DNK-ny bölüp çykarmak üçin reagentlar toplumy, AmpliPrime® "RIBO-prep" (gapda 100 barlag)
Набор реагентов для выделения ДНК/РНК АмплиПрайм® Рибо-преп, (100 тестов/упак.)</t>
  </si>
  <si>
    <t xml:space="preserve">       Bäsleşik topary tarapyndan jemi bahasy 4 492 980,00 (dört million dört ýüz togsan iki müň dokuz ýüz segsen manat we 00 teňňe) manat bolan anyklaýyş we sarp ediş serişdeleri satyn almak üçin aşakda görkezilen kompaniýa seçilip alyndy.</t>
  </si>
  <si>
    <t>Bäsleşik toparynyň agzalary:</t>
  </si>
  <si>
    <t>TSG we DS ministriniň orunbasary - Döwlet arassaçylyk we keselleriň ýaýramagyna garşy göreşmek gullugynyň başlygy</t>
  </si>
  <si>
    <t>A. Öwezow</t>
  </si>
  <si>
    <t>TSG we DSM-niň Bejeriş-öňüni alyş bölüminiň başlygy - jogapkär kätip</t>
  </si>
  <si>
    <t>M. Ergeşow</t>
  </si>
  <si>
    <t>TSG we DSM-niň Ygtyýarlylandyrmak bölüminiň başlygy</t>
  </si>
  <si>
    <t>M. Kakabaýew</t>
  </si>
  <si>
    <t>TSG we DSM-niň Düýpli gurluşyk we maýa goýumlary bölüminiň başlygy</t>
  </si>
  <si>
    <t>M. Annakow</t>
  </si>
  <si>
    <t>TSG we DSM-niň Maliýe işi, buhgalteriýa hasaby we hasabatlylyk bölüminiň başlygy</t>
  </si>
  <si>
    <t>S. Sähetmämmedow</t>
  </si>
  <si>
    <t>TSG we DSM-niň Özgertmeleri seljeriş we täze tilsimatlar bölüminiň başlygynyň w.w.ý.ý.</t>
  </si>
  <si>
    <t>K. Şagulyýew</t>
  </si>
  <si>
    <t>TSG we DSM-niň Maliýe gözegçilik-barlag edarasynyň başlygy</t>
  </si>
  <si>
    <t>Ç. Nurmämmedow</t>
  </si>
  <si>
    <t>TSG we DSM-niň ýanyndaky Derman serişdelerini hasaba alyş we olaryň hiline döwlet gözegçiligi merkeziniň direktory</t>
  </si>
  <si>
    <t>Ö. Owwadow</t>
  </si>
  <si>
    <t>Baş dermanhana birleşiginiň direktory</t>
  </si>
  <si>
    <t>B. Meýmanow</t>
  </si>
  <si>
    <t>«Türkmendermansenagat» birleşiginiň direktory</t>
  </si>
  <si>
    <t>M. Amanow</t>
  </si>
  <si>
    <t>«Lukmançylyk enjamlary» önümçilik birleşiginiň direktory</t>
  </si>
  <si>
    <t>S. Kakamyradow</t>
  </si>
  <si>
    <t>gap</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</si>
</sst>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 _р_._-;\-* #,##0.00\ _р_._-;_-* &quot;-&quot;??\ _р_._-;_-@_-"/>
    <numFmt numFmtId="165" formatCode="#,##0.00_р_."/>
    <numFmt numFmtId="166" formatCode="_-* #,##0.00_р_._-;\-* #,##0.00_р_._-;_-* &quot;-&quot;??_р_._-;_-@_-"/>
  </numFmts>
  <fonts count="14" x14ac:knownFonts="1">
    <font>
      <sz val="11"/>
      <color theme="1"/>
      <name val="Calibri"/>
      <family val="2"/>
      <charset val="204"/>
      <scheme val="minor"/>
    </font>
    <font>
      <sz val="11"/>
      <color theme="1"/>
      <name val="Calibri"/>
      <family val="2"/>
      <charset val="204"/>
      <scheme val="minor"/>
    </font>
    <font>
      <b/>
      <sz val="12"/>
      <name val="Times New Roman"/>
      <family val="1"/>
      <charset val="204"/>
    </font>
    <font>
      <sz val="12"/>
      <name val="Times New Roman"/>
      <family val="1"/>
      <charset val="204"/>
    </font>
    <font>
      <b/>
      <sz val="11"/>
      <name val="Times New Roman"/>
      <family val="1"/>
      <charset val="204"/>
    </font>
    <font>
      <b/>
      <sz val="8"/>
      <name val="Times New Roman"/>
      <family val="1"/>
      <charset val="204"/>
    </font>
    <font>
      <sz val="12"/>
      <color rgb="FFFF0000"/>
      <name val="Times New Roman"/>
      <family val="1"/>
      <charset val="204"/>
    </font>
    <font>
      <b/>
      <sz val="12"/>
      <color rgb="FFFF0000"/>
      <name val="Times New Roman"/>
      <family val="1"/>
      <charset val="204"/>
    </font>
    <font>
      <sz val="12"/>
      <color theme="1"/>
      <name val="Times New Roman"/>
      <family val="1"/>
      <charset val="204"/>
    </font>
    <font>
      <sz val="12"/>
      <color theme="0"/>
      <name val="Times New Roman"/>
      <family val="1"/>
      <charset val="204"/>
    </font>
    <font>
      <b/>
      <sz val="12"/>
      <color theme="0"/>
      <name val="Times New Roman"/>
      <family val="1"/>
      <charset val="204"/>
    </font>
    <font>
      <b/>
      <sz val="12"/>
      <color theme="1"/>
      <name val="Times New Roman"/>
      <family val="1"/>
      <charset val="204"/>
    </font>
    <font>
      <sz val="11"/>
      <name val="Times New Roman"/>
      <family val="1"/>
      <charset val="204"/>
    </font>
    <font>
      <sz val="8"/>
      <name val="Times New Roman"/>
      <family val="1"/>
      <charset val="204"/>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164" fontId="1" fillId="0" borderId="0" applyFont="0" applyFill="0" applyBorder="0" applyAlignment="0" applyProtection="0"/>
  </cellStyleXfs>
  <cellXfs count="54">
    <xf numFmtId="0" fontId="0" fillId="0" borderId="0" xfId="0"/>
    <xf numFmtId="0" fontId="3" fillId="0" borderId="0" xfId="1" applyFont="1" applyFill="1" applyBorder="1" applyAlignment="1">
      <alignment horizontal="center" vertical="center" wrapText="1"/>
    </xf>
    <xf numFmtId="0" fontId="2" fillId="0" borderId="0" xfId="1" applyFont="1" applyFill="1" applyBorder="1" applyAlignment="1">
      <alignment horizontal="center" vertical="center" wrapText="1"/>
    </xf>
    <xf numFmtId="0" fontId="3" fillId="0" borderId="0" xfId="1" applyFont="1" applyFill="1"/>
    <xf numFmtId="0" fontId="3" fillId="0" borderId="0" xfId="1" applyFont="1" applyFill="1" applyAlignment="1">
      <alignment vertical="center" wrapText="1"/>
    </xf>
    <xf numFmtId="0" fontId="4" fillId="0" borderId="0" xfId="1" applyFont="1" applyFill="1" applyBorder="1" applyAlignment="1">
      <alignment horizontal="left" vertical="center" wrapText="1"/>
    </xf>
    <xf numFmtId="0" fontId="5" fillId="0" borderId="0" xfId="1" applyFont="1" applyFill="1" applyBorder="1" applyAlignment="1">
      <alignment horizontal="center" vertical="center" wrapText="1"/>
    </xf>
    <xf numFmtId="164" fontId="2" fillId="0" borderId="0" xfId="2" applyFont="1" applyFill="1" applyBorder="1" applyAlignment="1">
      <alignment horizontal="center" vertical="center" wrapText="1"/>
    </xf>
    <xf numFmtId="0" fontId="2" fillId="0" borderId="2" xfId="1" applyFont="1" applyFill="1" applyBorder="1" applyAlignment="1">
      <alignment horizontal="center" vertical="center" wrapText="1"/>
    </xf>
    <xf numFmtId="0" fontId="4" fillId="0" borderId="2" xfId="1" applyFont="1" applyFill="1" applyBorder="1" applyAlignment="1">
      <alignment horizontal="center" vertical="center" wrapText="1"/>
    </xf>
    <xf numFmtId="164" fontId="2" fillId="0" borderId="2" xfId="2" applyFont="1" applyFill="1" applyBorder="1" applyAlignment="1">
      <alignment horizontal="center" vertical="center" wrapText="1"/>
    </xf>
    <xf numFmtId="0" fontId="3" fillId="0" borderId="3" xfId="1" applyFont="1" applyFill="1" applyBorder="1" applyAlignment="1">
      <alignment horizontal="center" vertical="center" wrapText="1"/>
    </xf>
    <xf numFmtId="0" fontId="3" fillId="0" borderId="3" xfId="1" applyFont="1" applyFill="1" applyBorder="1" applyAlignment="1">
      <alignment horizontal="left" vertical="center" wrapText="1"/>
    </xf>
    <xf numFmtId="0" fontId="8" fillId="0" borderId="3" xfId="1" applyFont="1" applyBorder="1" applyAlignment="1">
      <alignment horizontal="center" vertical="center" wrapText="1"/>
    </xf>
    <xf numFmtId="2" fontId="8" fillId="0" borderId="3" xfId="1" applyNumberFormat="1" applyFont="1" applyBorder="1" applyAlignment="1">
      <alignment horizontal="center" vertical="center" wrapText="1"/>
    </xf>
    <xf numFmtId="165" fontId="3" fillId="0" borderId="3" xfId="1" applyNumberFormat="1" applyFont="1" applyFill="1" applyBorder="1" applyAlignment="1">
      <alignment horizontal="center" vertical="center" wrapText="1"/>
    </xf>
    <xf numFmtId="165" fontId="8" fillId="0" borderId="3" xfId="1" applyNumberFormat="1" applyFont="1" applyBorder="1" applyAlignment="1">
      <alignment horizontal="center" vertical="center" wrapText="1"/>
    </xf>
    <xf numFmtId="0" fontId="2" fillId="0" borderId="4" xfId="1" applyFont="1" applyFill="1" applyBorder="1" applyAlignment="1">
      <alignment horizontal="center" vertical="center" wrapText="1"/>
    </xf>
    <xf numFmtId="0" fontId="4" fillId="0" borderId="4" xfId="1" applyFont="1" applyFill="1" applyBorder="1" applyAlignment="1">
      <alignment horizontal="center" vertical="center" wrapText="1"/>
    </xf>
    <xf numFmtId="0" fontId="7" fillId="0" borderId="0" xfId="1" applyFont="1" applyFill="1" applyBorder="1" applyAlignment="1">
      <alignment vertical="center" wrapText="1"/>
    </xf>
    <xf numFmtId="0" fontId="2" fillId="0" borderId="0" xfId="1" applyFont="1" applyFill="1" applyBorder="1" applyAlignment="1">
      <alignment vertical="center" wrapText="1"/>
    </xf>
    <xf numFmtId="166" fontId="7" fillId="0" borderId="0" xfId="1" applyNumberFormat="1" applyFont="1" applyFill="1" applyBorder="1" applyAlignment="1">
      <alignment vertical="center" wrapText="1"/>
    </xf>
    <xf numFmtId="2" fontId="8" fillId="0" borderId="0" xfId="1" applyNumberFormat="1" applyFont="1" applyBorder="1" applyAlignment="1">
      <alignment horizontal="center" vertical="center" wrapText="1"/>
    </xf>
    <xf numFmtId="0" fontId="10" fillId="0" borderId="0" xfId="1" applyFont="1" applyFill="1" applyBorder="1" applyAlignment="1">
      <alignment horizontal="left" vertical="center" wrapText="1"/>
    </xf>
    <xf numFmtId="0" fontId="10" fillId="0" borderId="0" xfId="1" applyFont="1" applyFill="1" applyBorder="1" applyAlignment="1">
      <alignment vertical="center" wrapText="1"/>
    </xf>
    <xf numFmtId="164" fontId="10" fillId="0" borderId="0" xfId="1" applyNumberFormat="1" applyFont="1" applyFill="1"/>
    <xf numFmtId="0" fontId="9" fillId="0" borderId="0" xfId="1" applyFont="1" applyFill="1" applyBorder="1" applyAlignment="1">
      <alignment horizontal="left" vertical="center" wrapText="1"/>
    </xf>
    <xf numFmtId="2" fontId="9" fillId="0" borderId="0" xfId="1" applyNumberFormat="1" applyFont="1" applyBorder="1" applyAlignment="1">
      <alignment horizontal="center" vertical="center" wrapText="1"/>
    </xf>
    <xf numFmtId="0" fontId="9" fillId="0" borderId="0" xfId="1" applyFont="1" applyFill="1"/>
    <xf numFmtId="0" fontId="2" fillId="0" borderId="0" xfId="1" applyFont="1" applyFill="1" applyBorder="1" applyAlignment="1">
      <alignment horizontal="left" vertical="center" wrapText="1"/>
    </xf>
    <xf numFmtId="166" fontId="2" fillId="0" borderId="0" xfId="1" applyNumberFormat="1" applyFont="1" applyFill="1" applyBorder="1" applyAlignment="1">
      <alignment vertical="center" wrapText="1"/>
    </xf>
    <xf numFmtId="0" fontId="2" fillId="0" borderId="0" xfId="1" applyFont="1" applyFill="1" applyBorder="1" applyAlignment="1">
      <alignment horizontal="right" vertical="center" wrapText="1"/>
    </xf>
    <xf numFmtId="164" fontId="3" fillId="0" borderId="0" xfId="2" applyFont="1" applyFill="1"/>
    <xf numFmtId="0" fontId="8" fillId="0" borderId="0" xfId="1" applyFont="1" applyAlignment="1">
      <alignment horizontal="center" vertical="center" wrapText="1"/>
    </xf>
    <xf numFmtId="0" fontId="11" fillId="0" borderId="0" xfId="1" applyFont="1" applyAlignment="1">
      <alignment horizontal="left" vertical="center" wrapText="1"/>
    </xf>
    <xf numFmtId="0" fontId="8" fillId="0" borderId="0" xfId="1" applyFont="1" applyAlignment="1">
      <alignment horizontal="left" vertical="top" wrapText="1"/>
    </xf>
    <xf numFmtId="0" fontId="8" fillId="0" borderId="0" xfId="1" applyFont="1"/>
    <xf numFmtId="0" fontId="3" fillId="0" borderId="0" xfId="1" applyFont="1" applyFill="1" applyAlignment="1">
      <alignment horizontal="center" vertical="center" wrapText="1"/>
    </xf>
    <xf numFmtId="0" fontId="12" fillId="0" borderId="0" xfId="1" applyFont="1" applyFill="1"/>
    <xf numFmtId="0" fontId="13" fillId="0" borderId="0" xfId="1" applyFont="1" applyFill="1"/>
    <xf numFmtId="0" fontId="6" fillId="0" borderId="0" xfId="1" applyFont="1" applyFill="1" applyBorder="1" applyAlignment="1">
      <alignment vertical="center" wrapText="1"/>
    </xf>
    <xf numFmtId="4" fontId="6" fillId="0" borderId="0" xfId="1" applyNumberFormat="1" applyFont="1" applyFill="1" applyBorder="1" applyAlignment="1">
      <alignment horizontal="left" vertical="center" wrapText="1"/>
    </xf>
    <xf numFmtId="2" fontId="6" fillId="0" borderId="0" xfId="1" applyNumberFormat="1" applyFont="1" applyBorder="1" applyAlignment="1">
      <alignment horizontal="center" vertical="center" wrapText="1"/>
    </xf>
    <xf numFmtId="0" fontId="3" fillId="0" borderId="0" xfId="1" applyFont="1" applyFill="1" applyAlignment="1">
      <alignment horizontal="left" vertical="top" wrapText="1"/>
    </xf>
    <xf numFmtId="0" fontId="10" fillId="0" borderId="0" xfId="1" applyFont="1" applyFill="1" applyBorder="1" applyAlignment="1">
      <alignment horizontal="left" vertical="center" wrapText="1"/>
    </xf>
    <xf numFmtId="4" fontId="2" fillId="0" borderId="4" xfId="2" applyNumberFormat="1" applyFont="1" applyFill="1" applyBorder="1" applyAlignment="1">
      <alignment horizontal="center" vertical="center" wrapText="1"/>
    </xf>
    <xf numFmtId="164" fontId="2" fillId="0" borderId="4" xfId="2" applyFont="1" applyFill="1" applyBorder="1" applyAlignment="1">
      <alignment horizontal="center" vertical="center" wrapText="1"/>
    </xf>
    <xf numFmtId="0" fontId="6" fillId="0" borderId="0" xfId="1" applyFont="1" applyFill="1" applyBorder="1" applyAlignment="1">
      <alignment vertical="center" wrapText="1"/>
    </xf>
    <xf numFmtId="2" fontId="7" fillId="0" borderId="0" xfId="1" applyNumberFormat="1" applyFont="1" applyFill="1" applyBorder="1" applyAlignment="1">
      <alignment horizontal="left" vertical="center" wrapText="1"/>
    </xf>
    <xf numFmtId="0" fontId="7" fillId="0" borderId="0" xfId="1" applyFont="1" applyFill="1" applyBorder="1" applyAlignment="1">
      <alignment horizontal="left" vertical="center" wrapText="1"/>
    </xf>
    <xf numFmtId="2" fontId="2" fillId="0" borderId="0" xfId="1" applyNumberFormat="1" applyFont="1" applyFill="1" applyBorder="1" applyAlignment="1">
      <alignment horizontal="left" vertical="center" wrapText="1"/>
    </xf>
    <xf numFmtId="0" fontId="2" fillId="0" borderId="0" xfId="1" applyFont="1" applyFill="1" applyBorder="1" applyAlignment="1">
      <alignment horizontal="center" vertical="center" wrapText="1"/>
    </xf>
    <xf numFmtId="0" fontId="2" fillId="0" borderId="0" xfId="1" applyFont="1" applyFill="1" applyBorder="1" applyAlignment="1">
      <alignment horizontal="center" wrapText="1"/>
    </xf>
    <xf numFmtId="0" fontId="6" fillId="0" borderId="1" xfId="1" applyFont="1" applyBorder="1" applyAlignment="1">
      <alignment horizontal="left" vertical="center" wrapText="1"/>
    </xf>
  </cellXfs>
  <cellStyles count="3">
    <cellStyle name="Обычный" xfId="0" builtinId="0"/>
    <cellStyle name="Обычный 4" xfId="1"/>
    <cellStyle name="Финансовый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tabSelected="1" topLeftCell="A6" workbookViewId="0">
      <selection activeCell="C11" sqref="C11"/>
    </sheetView>
  </sheetViews>
  <sheetFormatPr defaultColWidth="11.44140625" defaultRowHeight="15.6" x14ac:dyDescent="0.3"/>
  <cols>
    <col min="1" max="1" width="8" style="3" bestFit="1" customWidth="1"/>
    <col min="2" max="2" width="55.6640625" style="38" customWidth="1"/>
    <col min="3" max="3" width="10.6640625" style="3" customWidth="1"/>
    <col min="4" max="4" width="14.33203125" style="3" bestFit="1" customWidth="1"/>
    <col min="5" max="5" width="11.33203125" style="3" bestFit="1" customWidth="1"/>
    <col min="6" max="6" width="20.6640625" style="3" customWidth="1"/>
    <col min="7" max="7" width="20.6640625" style="39" customWidth="1"/>
    <col min="8" max="8" width="12.5546875" style="32" customWidth="1"/>
    <col min="9" max="9" width="17.44140625" style="32" customWidth="1"/>
    <col min="10" max="10" width="11.88671875" style="3" bestFit="1" customWidth="1"/>
    <col min="11" max="11" width="11.44140625" style="3"/>
    <col min="12" max="12" width="14.88671875" style="3" bestFit="1" customWidth="1"/>
    <col min="13" max="16384" width="11.44140625" style="3"/>
  </cols>
  <sheetData>
    <row r="1" spans="1:9" ht="52.5" customHeight="1" x14ac:dyDescent="0.3">
      <c r="A1" s="51"/>
      <c r="B1" s="51"/>
      <c r="C1" s="51"/>
      <c r="D1" s="51"/>
      <c r="E1" s="1"/>
      <c r="F1" s="2"/>
      <c r="G1" s="51" t="s">
        <v>0</v>
      </c>
      <c r="H1" s="51"/>
      <c r="I1" s="51"/>
    </row>
    <row r="2" spans="1:9" ht="36.6" customHeight="1" x14ac:dyDescent="0.3">
      <c r="A2" s="2"/>
      <c r="B2" s="2"/>
      <c r="C2" s="2"/>
      <c r="D2" s="2"/>
      <c r="E2" s="1"/>
      <c r="F2" s="2"/>
      <c r="G2" s="52" t="s">
        <v>1</v>
      </c>
      <c r="H2" s="52"/>
      <c r="I2" s="52"/>
    </row>
    <row r="3" spans="1:9" ht="15.75" customHeight="1" x14ac:dyDescent="0.3">
      <c r="A3" s="51" t="s">
        <v>2</v>
      </c>
      <c r="B3" s="51"/>
      <c r="C3" s="51"/>
      <c r="D3" s="51"/>
      <c r="E3" s="51"/>
      <c r="F3" s="51"/>
      <c r="G3" s="51"/>
      <c r="H3" s="51"/>
      <c r="I3" s="51"/>
    </row>
    <row r="4" spans="1:9" ht="15.75" customHeight="1" x14ac:dyDescent="0.3">
      <c r="A4" s="4"/>
      <c r="B4" s="5" t="s">
        <v>3</v>
      </c>
      <c r="C4" s="1"/>
      <c r="D4" s="1"/>
      <c r="E4" s="1"/>
      <c r="G4" s="51" t="s">
        <v>4</v>
      </c>
      <c r="H4" s="51"/>
      <c r="I4" s="51"/>
    </row>
    <row r="5" spans="1:9" x14ac:dyDescent="0.3">
      <c r="A5" s="4"/>
      <c r="B5" s="5"/>
      <c r="C5" s="1"/>
      <c r="D5" s="1"/>
      <c r="E5" s="1"/>
      <c r="G5" s="6"/>
      <c r="H5" s="7"/>
      <c r="I5" s="7"/>
    </row>
    <row r="6" spans="1:9" ht="66.75" customHeight="1" x14ac:dyDescent="0.3">
      <c r="A6" s="53" t="s">
        <v>5</v>
      </c>
      <c r="B6" s="53"/>
      <c r="C6" s="53"/>
      <c r="D6" s="53"/>
      <c r="E6" s="53"/>
      <c r="F6" s="53"/>
      <c r="G6" s="53"/>
      <c r="H6" s="53"/>
      <c r="I6" s="53"/>
    </row>
    <row r="7" spans="1:9" ht="62.4" x14ac:dyDescent="0.3">
      <c r="A7" s="8" t="s">
        <v>6</v>
      </c>
      <c r="B7" s="9" t="s">
        <v>7</v>
      </c>
      <c r="C7" s="8" t="s">
        <v>8</v>
      </c>
      <c r="D7" s="8" t="s">
        <v>9</v>
      </c>
      <c r="E7" s="8" t="s">
        <v>10</v>
      </c>
      <c r="F7" s="8" t="s">
        <v>11</v>
      </c>
      <c r="G7" s="8" t="s">
        <v>12</v>
      </c>
      <c r="H7" s="10" t="s">
        <v>13</v>
      </c>
      <c r="I7" s="10" t="s">
        <v>14</v>
      </c>
    </row>
    <row r="8" spans="1:9" ht="78" x14ac:dyDescent="0.3">
      <c r="A8" s="11">
        <v>1</v>
      </c>
      <c r="B8" s="12" t="s">
        <v>18</v>
      </c>
      <c r="C8" s="11" t="s">
        <v>58</v>
      </c>
      <c r="D8" s="11">
        <v>417</v>
      </c>
      <c r="E8" s="13">
        <v>3</v>
      </c>
      <c r="F8" s="14" t="s">
        <v>19</v>
      </c>
      <c r="G8" s="14" t="s">
        <v>20</v>
      </c>
      <c r="H8" s="15">
        <v>5760</v>
      </c>
      <c r="I8" s="16">
        <f>H8*D8</f>
        <v>2401920</v>
      </c>
    </row>
    <row r="9" spans="1:9" ht="46.8" x14ac:dyDescent="0.3">
      <c r="A9" s="11">
        <v>2</v>
      </c>
      <c r="B9" s="12" t="s">
        <v>21</v>
      </c>
      <c r="C9" s="11" t="s">
        <v>58</v>
      </c>
      <c r="D9" s="11">
        <v>417</v>
      </c>
      <c r="E9" s="13">
        <v>3</v>
      </c>
      <c r="F9" s="14" t="s">
        <v>19</v>
      </c>
      <c r="G9" s="14" t="s">
        <v>20</v>
      </c>
      <c r="H9" s="15">
        <v>2880</v>
      </c>
      <c r="I9" s="16">
        <f t="shared" ref="I9:I20" si="0">H9*D9</f>
        <v>1200960</v>
      </c>
    </row>
    <row r="10" spans="1:9" ht="62.4" x14ac:dyDescent="0.3">
      <c r="A10" s="11">
        <v>3</v>
      </c>
      <c r="B10" s="12" t="s">
        <v>22</v>
      </c>
      <c r="C10" s="11" t="s">
        <v>58</v>
      </c>
      <c r="D10" s="11">
        <v>10</v>
      </c>
      <c r="E10" s="13">
        <v>3</v>
      </c>
      <c r="F10" s="14" t="s">
        <v>19</v>
      </c>
      <c r="G10" s="14" t="s">
        <v>20</v>
      </c>
      <c r="H10" s="15">
        <v>4320</v>
      </c>
      <c r="I10" s="16">
        <f t="shared" si="0"/>
        <v>43200</v>
      </c>
    </row>
    <row r="11" spans="1:9" ht="93.6" x14ac:dyDescent="0.3">
      <c r="A11" s="11">
        <v>4</v>
      </c>
      <c r="B11" s="12" t="s">
        <v>23</v>
      </c>
      <c r="C11" s="11" t="s">
        <v>58</v>
      </c>
      <c r="D11" s="11">
        <v>10</v>
      </c>
      <c r="E11" s="13">
        <v>3</v>
      </c>
      <c r="F11" s="14" t="s">
        <v>19</v>
      </c>
      <c r="G11" s="14" t="s">
        <v>20</v>
      </c>
      <c r="H11" s="15">
        <v>4320</v>
      </c>
      <c r="I11" s="16">
        <f t="shared" si="0"/>
        <v>43200</v>
      </c>
    </row>
    <row r="12" spans="1:9" ht="93.6" x14ac:dyDescent="0.3">
      <c r="A12" s="11">
        <v>5</v>
      </c>
      <c r="B12" s="12" t="s">
        <v>24</v>
      </c>
      <c r="C12" s="11" t="s">
        <v>58</v>
      </c>
      <c r="D12" s="11">
        <v>10</v>
      </c>
      <c r="E12" s="13">
        <v>3</v>
      </c>
      <c r="F12" s="14" t="s">
        <v>19</v>
      </c>
      <c r="G12" s="14" t="s">
        <v>20</v>
      </c>
      <c r="H12" s="15">
        <v>4320</v>
      </c>
      <c r="I12" s="16">
        <f t="shared" si="0"/>
        <v>43200</v>
      </c>
    </row>
    <row r="13" spans="1:9" ht="46.8" x14ac:dyDescent="0.3">
      <c r="A13" s="11">
        <v>6</v>
      </c>
      <c r="B13" s="12" t="s">
        <v>25</v>
      </c>
      <c r="C13" s="11" t="s">
        <v>58</v>
      </c>
      <c r="D13" s="11">
        <v>30</v>
      </c>
      <c r="E13" s="13">
        <v>3</v>
      </c>
      <c r="F13" s="14" t="s">
        <v>19</v>
      </c>
      <c r="G13" s="14" t="s">
        <v>20</v>
      </c>
      <c r="H13" s="15">
        <v>4500</v>
      </c>
      <c r="I13" s="16">
        <f t="shared" si="0"/>
        <v>135000</v>
      </c>
    </row>
    <row r="14" spans="1:9" ht="109.2" x14ac:dyDescent="0.3">
      <c r="A14" s="11">
        <v>7</v>
      </c>
      <c r="B14" s="12" t="s">
        <v>26</v>
      </c>
      <c r="C14" s="11" t="s">
        <v>58</v>
      </c>
      <c r="D14" s="11">
        <v>10</v>
      </c>
      <c r="E14" s="13">
        <v>3</v>
      </c>
      <c r="F14" s="14" t="s">
        <v>19</v>
      </c>
      <c r="G14" s="14" t="s">
        <v>27</v>
      </c>
      <c r="H14" s="15">
        <v>4000</v>
      </c>
      <c r="I14" s="16">
        <f t="shared" si="0"/>
        <v>40000</v>
      </c>
    </row>
    <row r="15" spans="1:9" ht="124.8" x14ac:dyDescent="0.3">
      <c r="A15" s="11">
        <v>8</v>
      </c>
      <c r="B15" s="12" t="s">
        <v>28</v>
      </c>
      <c r="C15" s="11" t="s">
        <v>58</v>
      </c>
      <c r="D15" s="11">
        <v>10</v>
      </c>
      <c r="E15" s="13">
        <v>3</v>
      </c>
      <c r="F15" s="14" t="s">
        <v>19</v>
      </c>
      <c r="G15" s="14" t="s">
        <v>27</v>
      </c>
      <c r="H15" s="15">
        <v>4500</v>
      </c>
      <c r="I15" s="16">
        <f t="shared" si="0"/>
        <v>45000</v>
      </c>
    </row>
    <row r="16" spans="1:9" ht="93.6" x14ac:dyDescent="0.3">
      <c r="A16" s="11">
        <v>9</v>
      </c>
      <c r="B16" s="12" t="s">
        <v>29</v>
      </c>
      <c r="C16" s="11" t="s">
        <v>58</v>
      </c>
      <c r="D16" s="11">
        <v>10</v>
      </c>
      <c r="E16" s="13">
        <v>3</v>
      </c>
      <c r="F16" s="14" t="s">
        <v>19</v>
      </c>
      <c r="G16" s="14" t="s">
        <v>27</v>
      </c>
      <c r="H16" s="15">
        <v>4500</v>
      </c>
      <c r="I16" s="16">
        <f t="shared" si="0"/>
        <v>45000</v>
      </c>
    </row>
    <row r="17" spans="1:9" ht="109.2" x14ac:dyDescent="0.3">
      <c r="A17" s="11">
        <v>10</v>
      </c>
      <c r="B17" s="12" t="s">
        <v>30</v>
      </c>
      <c r="C17" s="11" t="s">
        <v>58</v>
      </c>
      <c r="D17" s="11">
        <v>20</v>
      </c>
      <c r="E17" s="13">
        <v>3</v>
      </c>
      <c r="F17" s="14" t="s">
        <v>19</v>
      </c>
      <c r="G17" s="14" t="s">
        <v>27</v>
      </c>
      <c r="H17" s="15">
        <v>4300</v>
      </c>
      <c r="I17" s="16">
        <f t="shared" si="0"/>
        <v>86000</v>
      </c>
    </row>
    <row r="18" spans="1:9" ht="124.8" x14ac:dyDescent="0.3">
      <c r="A18" s="11">
        <v>11</v>
      </c>
      <c r="B18" s="12" t="s">
        <v>31</v>
      </c>
      <c r="C18" s="11" t="s">
        <v>58</v>
      </c>
      <c r="D18" s="11">
        <v>10</v>
      </c>
      <c r="E18" s="13">
        <v>3</v>
      </c>
      <c r="F18" s="14" t="s">
        <v>19</v>
      </c>
      <c r="G18" s="14" t="s">
        <v>27</v>
      </c>
      <c r="H18" s="15">
        <v>4500</v>
      </c>
      <c r="I18" s="16">
        <f t="shared" si="0"/>
        <v>45000</v>
      </c>
    </row>
    <row r="19" spans="1:9" ht="93.6" x14ac:dyDescent="0.3">
      <c r="A19" s="11">
        <v>12</v>
      </c>
      <c r="B19" s="12" t="s">
        <v>32</v>
      </c>
      <c r="C19" s="11" t="s">
        <v>58</v>
      </c>
      <c r="D19" s="11">
        <v>20</v>
      </c>
      <c r="E19" s="13">
        <v>3</v>
      </c>
      <c r="F19" s="14" t="s">
        <v>19</v>
      </c>
      <c r="G19" s="14" t="s">
        <v>27</v>
      </c>
      <c r="H19" s="15">
        <v>2475</v>
      </c>
      <c r="I19" s="16">
        <f t="shared" si="0"/>
        <v>49500</v>
      </c>
    </row>
    <row r="20" spans="1:9" ht="62.4" x14ac:dyDescent="0.3">
      <c r="A20" s="11">
        <v>13</v>
      </c>
      <c r="B20" s="12" t="s">
        <v>33</v>
      </c>
      <c r="C20" s="11" t="s">
        <v>58</v>
      </c>
      <c r="D20" s="11">
        <v>70</v>
      </c>
      <c r="E20" s="13">
        <v>3</v>
      </c>
      <c r="F20" s="14" t="s">
        <v>19</v>
      </c>
      <c r="G20" s="14" t="s">
        <v>20</v>
      </c>
      <c r="H20" s="15">
        <v>4500</v>
      </c>
      <c r="I20" s="16">
        <f t="shared" si="0"/>
        <v>315000</v>
      </c>
    </row>
    <row r="21" spans="1:9" x14ac:dyDescent="0.3">
      <c r="A21" s="17"/>
      <c r="B21" s="18" t="s">
        <v>15</v>
      </c>
      <c r="C21" s="45">
        <f>SUM(I8:I20)</f>
        <v>4492980</v>
      </c>
      <c r="D21" s="46"/>
      <c r="E21" s="46"/>
      <c r="F21" s="46"/>
      <c r="G21" s="46"/>
      <c r="H21" s="46"/>
      <c r="I21" s="46"/>
    </row>
    <row r="22" spans="1:9" ht="33" customHeight="1" x14ac:dyDescent="0.3">
      <c r="A22" s="47" t="s">
        <v>34</v>
      </c>
      <c r="B22" s="47"/>
      <c r="C22" s="47"/>
      <c r="D22" s="47"/>
      <c r="E22" s="47"/>
      <c r="F22" s="47"/>
      <c r="G22" s="47"/>
      <c r="H22" s="47"/>
      <c r="I22" s="47"/>
    </row>
    <row r="23" spans="1:9" ht="15.75" customHeight="1" x14ac:dyDescent="0.3">
      <c r="A23" s="48"/>
      <c r="B23" s="49"/>
      <c r="C23" s="49"/>
      <c r="D23" s="40"/>
      <c r="E23" s="40"/>
      <c r="F23" s="40"/>
      <c r="G23" s="40"/>
      <c r="H23" s="40"/>
      <c r="I23" s="40"/>
    </row>
    <row r="24" spans="1:9" ht="15.75" customHeight="1" x14ac:dyDescent="0.3">
      <c r="A24" s="50" t="s">
        <v>19</v>
      </c>
      <c r="B24" s="50"/>
      <c r="C24" s="50"/>
      <c r="D24" s="19">
        <f>COUNTIF($F$8:$F$20,A24)</f>
        <v>13</v>
      </c>
      <c r="E24" s="19" t="s">
        <v>16</v>
      </c>
      <c r="F24" s="21">
        <f>SUMIF($F$8:$F$20,$A24,$I$8:$I$20)</f>
        <v>4492980</v>
      </c>
      <c r="G24" s="19"/>
      <c r="H24" s="41"/>
      <c r="I24" s="42"/>
    </row>
    <row r="25" spans="1:9" s="28" customFormat="1" ht="15.75" customHeight="1" x14ac:dyDescent="0.3">
      <c r="A25" s="44"/>
      <c r="B25" s="44"/>
      <c r="C25" s="23"/>
      <c r="D25" s="24"/>
      <c r="E25" s="24"/>
      <c r="F25" s="25"/>
      <c r="G25" s="24"/>
      <c r="H25" s="26"/>
      <c r="I25" s="27"/>
    </row>
    <row r="26" spans="1:9" ht="15.75" customHeight="1" x14ac:dyDescent="0.3">
      <c r="A26" s="29"/>
      <c r="B26" s="29"/>
      <c r="C26" s="30" t="s">
        <v>17</v>
      </c>
      <c r="D26" s="31">
        <f>SUM(D24:D24)</f>
        <v>13</v>
      </c>
      <c r="E26" s="20" t="s">
        <v>16</v>
      </c>
      <c r="F26" s="30">
        <f>SUM(F24:F24)</f>
        <v>4492980</v>
      </c>
      <c r="G26" s="20"/>
      <c r="H26" s="3"/>
      <c r="I26" s="22"/>
    </row>
    <row r="27" spans="1:9" ht="21" customHeight="1" x14ac:dyDescent="0.3">
      <c r="A27" s="20"/>
      <c r="B27" s="20"/>
      <c r="E27" s="30"/>
      <c r="G27" s="3"/>
    </row>
    <row r="28" spans="1:9" s="36" customFormat="1" ht="18.75" customHeight="1" x14ac:dyDescent="0.3">
      <c r="A28" s="33"/>
      <c r="B28" s="34" t="s">
        <v>35</v>
      </c>
      <c r="C28" s="33"/>
      <c r="D28" s="33"/>
      <c r="E28" s="33"/>
      <c r="F28" s="33"/>
      <c r="G28" s="33"/>
      <c r="H28" s="35"/>
      <c r="I28" s="35"/>
    </row>
    <row r="29" spans="1:9" s="36" customFormat="1" ht="40.200000000000003" customHeight="1" x14ac:dyDescent="0.3">
      <c r="A29" s="37"/>
      <c r="B29" s="43" t="s">
        <v>36</v>
      </c>
      <c r="C29" s="43"/>
      <c r="D29" s="43"/>
      <c r="E29" s="43"/>
      <c r="F29" s="43"/>
      <c r="G29" s="37"/>
      <c r="H29" s="43" t="s">
        <v>37</v>
      </c>
      <c r="I29" s="43"/>
    </row>
    <row r="30" spans="1:9" s="36" customFormat="1" ht="40.200000000000003" customHeight="1" x14ac:dyDescent="0.3">
      <c r="A30" s="37"/>
      <c r="B30" s="43" t="s">
        <v>38</v>
      </c>
      <c r="C30" s="43"/>
      <c r="D30" s="43"/>
      <c r="E30" s="43"/>
      <c r="F30" s="43"/>
      <c r="G30" s="37"/>
      <c r="H30" s="43" t="s">
        <v>39</v>
      </c>
      <c r="I30" s="43"/>
    </row>
    <row r="31" spans="1:9" s="36" customFormat="1" ht="40.200000000000003" customHeight="1" x14ac:dyDescent="0.3">
      <c r="A31" s="37"/>
      <c r="B31" s="43" t="s">
        <v>40</v>
      </c>
      <c r="C31" s="43"/>
      <c r="D31" s="43"/>
      <c r="E31" s="43"/>
      <c r="F31" s="43"/>
      <c r="G31" s="37"/>
      <c r="H31" s="43" t="s">
        <v>41</v>
      </c>
      <c r="I31" s="43"/>
    </row>
    <row r="32" spans="1:9" s="36" customFormat="1" ht="40.200000000000003" customHeight="1" x14ac:dyDescent="0.3">
      <c r="A32" s="37"/>
      <c r="B32" s="43" t="s">
        <v>42</v>
      </c>
      <c r="C32" s="43"/>
      <c r="D32" s="43"/>
      <c r="E32" s="43"/>
      <c r="F32" s="43"/>
      <c r="G32" s="37"/>
      <c r="H32" s="43" t="s">
        <v>43</v>
      </c>
      <c r="I32" s="43"/>
    </row>
    <row r="33" spans="1:9" s="36" customFormat="1" ht="40.200000000000003" customHeight="1" x14ac:dyDescent="0.3">
      <c r="A33" s="37"/>
      <c r="B33" s="43" t="s">
        <v>44</v>
      </c>
      <c r="C33" s="43"/>
      <c r="D33" s="43"/>
      <c r="E33" s="43"/>
      <c r="F33" s="43"/>
      <c r="G33" s="37"/>
      <c r="H33" s="43" t="s">
        <v>45</v>
      </c>
      <c r="I33" s="43"/>
    </row>
    <row r="34" spans="1:9" s="36" customFormat="1" ht="40.200000000000003" customHeight="1" x14ac:dyDescent="0.3">
      <c r="A34" s="37"/>
      <c r="B34" s="43" t="s">
        <v>46</v>
      </c>
      <c r="C34" s="43"/>
      <c r="D34" s="43"/>
      <c r="E34" s="43"/>
      <c r="F34" s="43"/>
      <c r="G34" s="37"/>
      <c r="H34" s="43" t="s">
        <v>47</v>
      </c>
      <c r="I34" s="43"/>
    </row>
    <row r="35" spans="1:9" s="36" customFormat="1" ht="40.200000000000003" customHeight="1" x14ac:dyDescent="0.3">
      <c r="A35" s="37"/>
      <c r="B35" s="43" t="s">
        <v>48</v>
      </c>
      <c r="C35" s="43"/>
      <c r="D35" s="43"/>
      <c r="E35" s="43"/>
      <c r="F35" s="43"/>
      <c r="G35" s="37"/>
      <c r="H35" s="43" t="s">
        <v>49</v>
      </c>
      <c r="I35" s="43"/>
    </row>
    <row r="36" spans="1:9" s="36" customFormat="1" ht="40.200000000000003" customHeight="1" x14ac:dyDescent="0.3">
      <c r="A36" s="37"/>
      <c r="B36" s="43" t="s">
        <v>50</v>
      </c>
      <c r="C36" s="43"/>
      <c r="D36" s="43"/>
      <c r="E36" s="43"/>
      <c r="F36" s="43"/>
      <c r="G36" s="37"/>
      <c r="H36" s="43" t="s">
        <v>51</v>
      </c>
      <c r="I36" s="43"/>
    </row>
    <row r="37" spans="1:9" s="36" customFormat="1" ht="40.200000000000003" customHeight="1" x14ac:dyDescent="0.3">
      <c r="A37" s="37"/>
      <c r="B37" s="43" t="s">
        <v>52</v>
      </c>
      <c r="C37" s="43"/>
      <c r="D37" s="43"/>
      <c r="E37" s="43"/>
      <c r="F37" s="43"/>
      <c r="G37" s="37"/>
      <c r="H37" s="43" t="s">
        <v>53</v>
      </c>
      <c r="I37" s="43"/>
    </row>
    <row r="38" spans="1:9" s="36" customFormat="1" ht="40.200000000000003" customHeight="1" x14ac:dyDescent="0.3">
      <c r="A38" s="37"/>
      <c r="B38" s="43" t="s">
        <v>54</v>
      </c>
      <c r="C38" s="43"/>
      <c r="D38" s="43"/>
      <c r="E38" s="43"/>
      <c r="F38" s="43"/>
      <c r="G38" s="37"/>
      <c r="H38" s="43" t="s">
        <v>55</v>
      </c>
      <c r="I38" s="43"/>
    </row>
    <row r="39" spans="1:9" s="36" customFormat="1" ht="40.200000000000003" customHeight="1" x14ac:dyDescent="0.3">
      <c r="A39" s="37"/>
      <c r="B39" s="43" t="s">
        <v>56</v>
      </c>
      <c r="C39" s="43"/>
      <c r="D39" s="43"/>
      <c r="E39" s="43"/>
      <c r="F39" s="43"/>
      <c r="G39" s="37"/>
      <c r="H39" s="43" t="s">
        <v>57</v>
      </c>
      <c r="I39" s="43"/>
    </row>
  </sheetData>
  <autoFilter ref="A7:I7"/>
  <mergeCells count="33">
    <mergeCell ref="C21:I21"/>
    <mergeCell ref="A22:I22"/>
    <mergeCell ref="A23:C23"/>
    <mergeCell ref="A24:C24"/>
    <mergeCell ref="A1:D1"/>
    <mergeCell ref="G1:I1"/>
    <mergeCell ref="G2:I2"/>
    <mergeCell ref="A3:I3"/>
    <mergeCell ref="G4:I4"/>
    <mergeCell ref="A6:I6"/>
    <mergeCell ref="A25:B25"/>
    <mergeCell ref="B29:F29"/>
    <mergeCell ref="H29:I29"/>
    <mergeCell ref="B30:F30"/>
    <mergeCell ref="H30:I30"/>
    <mergeCell ref="B31:F31"/>
    <mergeCell ref="H31:I31"/>
    <mergeCell ref="B32:F32"/>
    <mergeCell ref="H32:I32"/>
    <mergeCell ref="B33:F33"/>
    <mergeCell ref="H33:I33"/>
    <mergeCell ref="B34:F34"/>
    <mergeCell ref="H34:I34"/>
    <mergeCell ref="B35:F35"/>
    <mergeCell ref="H35:I35"/>
    <mergeCell ref="B36:F36"/>
    <mergeCell ref="H36:I36"/>
    <mergeCell ref="B37:F37"/>
    <mergeCell ref="H37:I37"/>
    <mergeCell ref="B38:F38"/>
    <mergeCell ref="H38:I38"/>
    <mergeCell ref="B39:F39"/>
    <mergeCell ref="H39:I39"/>
  </mergeCells>
  <pageMargins left="0.19685039370078741" right="0.19685039370078741" top="0.34" bottom="0.19" header="0.19685039370078741" footer="0.17"/>
  <pageSetup paperSize="9" scale="8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Beýannama Cheap</vt:lpstr>
      <vt:lpstr>'Beýannama Cheap'!Область_печати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2025-05-20T09:12:44Z</dcterms:created>
  <dcterms:modified xsi:type="dcterms:W3CDTF">2025-05-20T09:27:46Z</dcterms:modified>
</cp:coreProperties>
</file>